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Szenarien" sheetId="3" state="visible" r:id="rId3"/>
    <sheet name="Sensitivitä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000"/>
    <numFmt numFmtId="167" formatCode="0.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52514E"/>
      <sz val="9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EEEEE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3" fontId="5" fillId="0" borderId="0" pivotButton="0" quotePrefix="0" xfId="0"/>
    <xf numFmtId="9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4" fontId="3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166" fontId="3" fillId="0" borderId="0" pivotButton="0" quotePrefix="0" xfId="0"/>
    <xf numFmtId="2" fontId="5" fillId="0" borderId="0" pivotButton="0" quotePrefix="0" xfId="0"/>
    <xf numFmtId="2" fontId="3" fillId="0" borderId="0" pivotButton="0" quotePrefix="0" xfId="0"/>
    <xf numFmtId="9" fontId="3" fillId="0" borderId="0" pivotButton="0" quotePrefix="0" xfId="0"/>
    <xf numFmtId="0" fontId="2" fillId="2" borderId="1" pivotButton="0" quotePrefix="0" xfId="0"/>
    <xf numFmtId="3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2" fillId="0" borderId="0" pivotButton="0" quotePrefix="0" xfId="0"/>
    <xf numFmtId="9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ROI/TCO-Modell – Teilstudie B</t>
        </is>
      </c>
    </row>
    <row r="2">
      <c r="A2" s="2" t="inlineStr">
        <is>
          <t>Alle Ergebnisse sind Modellergebnisse und keine empirischen Messwerte (DEMI 1.5).</t>
        </is>
      </c>
    </row>
    <row r="3">
      <c r="A3" s="3" t="inlineStr"/>
    </row>
    <row r="4">
      <c r="A4" s="3" t="inlineStr">
        <is>
          <t>Blatt „Parameter“: Eingangsgrößen je Szenario mit Typ und Quelle. Blaue Zahlen sind Eingabewerte, schwarze Zahlen Formeln.</t>
        </is>
      </c>
    </row>
    <row r="5">
      <c r="A5" s="3" t="inlineStr">
        <is>
          <t>Blatt „Szenarien“: monatlicher Nutzen, Kosten (TCO), Nettonutzen, ROI, Break-even, Amortisationssicht und Schwelle RAG gegenüber LLM-only.</t>
        </is>
      </c>
    </row>
    <row r="6">
      <c r="A6" s="3" t="inlineStr">
        <is>
          <t>Blatt „Sensitivität“: One-at-a-time-Variation jedes Parameters um ±20 % (Zelle C3 änderbar).</t>
        </is>
      </c>
    </row>
    <row r="7">
      <c r="A7" s="3" t="inlineStr"/>
    </row>
    <row r="8">
      <c r="A8" s="3" t="inlineStr">
        <is>
          <t>Break-even per Zielwertsuche nachprüfen: Daten &gt; Was-wäre-wenn-Analyse &gt; Zielwertsuche; Zielzelle Szenarien!D15 (Nettonutzen, mittel), Zielwert 0, veränderbare Zelle Parameter!F5 (Ticketvolumen). Das Ergebnis entspricht Szenarien!D19. Danach Parameter!F5 auf den Ausgangswert zurücksetzen.</t>
        </is>
      </c>
    </row>
    <row r="9">
      <c r="A9" s="3" t="inlineStr"/>
    </row>
    <row r="10">
      <c r="A10" s="4" t="inlineStr">
        <is>
          <t>Erzeugt mit auswertung/teilstudie_b.py am 2026-10-21T06:51:17+00:00; Git-Stand 09d00f859c16 (nicht committete Änderungen).</t>
        </is>
      </c>
    </row>
    <row r="11">
      <c r="A11" s="4" t="inlineStr">
        <is>
          <t>Messwerte aus auswertung/ergebnisse/strang1/kennzahlen.csv (SHA-256 1e4963bf931ba1dc).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14" customWidth="1" min="4" max="4"/>
    <col width="13" customWidth="1" min="5" max="5"/>
    <col width="13" customWidth="1" min="6" max="6"/>
    <col width="13" customWidth="1" min="7" max="7"/>
    <col width="90" customWidth="1" min="8" max="8"/>
  </cols>
  <sheetData>
    <row r="1">
      <c r="A1" s="5" t="inlineStr">
        <is>
          <t>Parameter des ROI/TCO-Modells (DEMI, Tabelle 14)</t>
        </is>
      </c>
    </row>
    <row r="2">
      <c r="A2" s="6" t="inlineStr">
        <is>
          <t>Blau: Eingabewert. Schwarz: Formel (Wert gilt in allen Szenarien).</t>
        </is>
      </c>
    </row>
    <row r="4">
      <c r="A4" s="7" t="inlineStr">
        <is>
          <t>Kürzel</t>
        </is>
      </c>
      <c r="B4" s="7" t="inlineStr">
        <is>
          <t>Parameter</t>
        </is>
      </c>
      <c r="C4" s="7" t="inlineStr">
        <is>
          <t>Einheit</t>
        </is>
      </c>
      <c r="D4" s="7" t="inlineStr">
        <is>
          <t>Typ</t>
        </is>
      </c>
      <c r="E4" s="7" t="inlineStr">
        <is>
          <t>konservativ</t>
        </is>
      </c>
      <c r="F4" s="7" t="inlineStr">
        <is>
          <t>mittel</t>
        </is>
      </c>
      <c r="G4" s="7" t="inlineStr">
        <is>
          <t>optimistisch</t>
        </is>
      </c>
      <c r="H4" s="7" t="inlineStr">
        <is>
          <t>Quelle bzw. Annahme</t>
        </is>
      </c>
    </row>
    <row r="5">
      <c r="A5" s="8" t="inlineStr">
        <is>
          <t>V</t>
        </is>
      </c>
      <c r="B5" s="8" t="inlineStr">
        <is>
          <t>Ticketvolumen je Monat</t>
        </is>
      </c>
      <c r="C5" s="8" t="inlineStr">
        <is>
          <t>Tickets</t>
        </is>
      </c>
      <c r="D5" s="8" t="inlineStr">
        <is>
          <t>Annahme</t>
        </is>
      </c>
      <c r="E5" s="9" t="n">
        <v>2000</v>
      </c>
      <c r="F5" s="9" t="n">
        <v>10000</v>
      </c>
      <c r="G5" s="9" t="n">
        <v>30000</v>
      </c>
      <c r="H5" s="3" t="inlineStr">
        <is>
          <t>DEMI, Tabelle 14; für den Break-even variiert</t>
        </is>
      </c>
    </row>
    <row r="6">
      <c r="A6" s="8" t="inlineStr">
        <is>
          <t>a</t>
        </is>
      </c>
      <c r="B6" s="8" t="inlineStr">
        <is>
          <t>Adoptionsrate</t>
        </is>
      </c>
      <c r="C6" s="8" t="inlineStr">
        <is>
          <t>Anteil der Tickets</t>
        </is>
      </c>
      <c r="D6" s="8" t="inlineStr">
        <is>
          <t>Annahme</t>
        </is>
      </c>
      <c r="E6" s="10" t="n">
        <v>0.4</v>
      </c>
      <c r="F6" s="10" t="n">
        <v>0.6</v>
      </c>
      <c r="G6" s="10" t="n">
        <v>0.8</v>
      </c>
      <c r="H6" s="3" t="inlineStr">
        <is>
          <t>DEMI, Tabelle 14; gestützt auf Adhärenzbefunde (Brynjolfsson et al., 2025)</t>
        </is>
      </c>
    </row>
    <row r="7">
      <c r="A7" s="8" t="inlineStr">
        <is>
          <t>t</t>
        </is>
      </c>
      <c r="B7" s="8" t="inlineStr">
        <is>
          <t>Zeitersparnis je unterstütztem Ticket</t>
        </is>
      </c>
      <c r="C7" s="8" t="inlineStr">
        <is>
          <t>min</t>
        </is>
      </c>
      <c r="D7" s="8" t="inlineStr">
        <is>
          <t>Annahme</t>
        </is>
      </c>
      <c r="E7" s="11" t="n">
        <v>0.5</v>
      </c>
      <c r="F7" s="11" t="n">
        <v>1.5</v>
      </c>
      <c r="G7" s="11" t="n">
        <v>3</v>
      </c>
      <c r="H7" s="3" t="inlineStr">
        <is>
          <t>DEMI, Tabelle 14; abgeleitet aus Brynjolfsson et al. (2025) und Xu et al. (2024)</t>
        </is>
      </c>
    </row>
    <row r="8">
      <c r="A8" s="8" t="inlineStr">
        <is>
          <t>p</t>
        </is>
      </c>
      <c r="B8" s="8" t="inlineStr">
        <is>
          <t>Personalkostensatz</t>
        </is>
      </c>
      <c r="C8" s="8" t="inlineStr">
        <is>
          <t>€/h</t>
        </is>
      </c>
      <c r="D8" s="8" t="inlineStr">
        <is>
          <t>Sekundärdaten</t>
        </is>
      </c>
      <c r="E8" s="12" t="n">
        <v>33.2</v>
      </c>
      <c r="F8" s="13">
        <f>$E$8</f>
        <v/>
      </c>
      <c r="G8" s="13">
        <f>$E$8</f>
        <v/>
      </c>
      <c r="H8" s="3" t="inlineStr">
        <is>
          <t>Destatis, Pressemitteilung Nr. 148 vom 29.04.2026: Arbeitskosten je geleistete Stunde 2025, Abschnitt N „Sonstige wirtschaftliche Dienstleistungen“ (B-03)</t>
        </is>
      </c>
    </row>
    <row r="9">
      <c r="A9" s="8" t="inlineStr">
        <is>
          <t>r</t>
        </is>
      </c>
      <c r="B9" s="8" t="inlineStr">
        <is>
          <t>Reduktion der Eskalationsquote</t>
        </is>
      </c>
      <c r="C9" s="8" t="inlineStr">
        <is>
          <t>Prozentpunkte</t>
        </is>
      </c>
      <c r="D9" s="8" t="inlineStr">
        <is>
          <t>Annahme</t>
        </is>
      </c>
      <c r="E9" s="14" t="n">
        <v>0</v>
      </c>
      <c r="F9" s="14" t="n">
        <v>0.02</v>
      </c>
      <c r="G9" s="14" t="n">
        <v>0.05</v>
      </c>
      <c r="H9" s="3" t="inlineStr">
        <is>
          <t>DEMI, Tabelle 14; gestützt auf Mgbeahuruike et al. (2025)</t>
        </is>
      </c>
    </row>
    <row r="10">
      <c r="A10" s="8" t="inlineStr">
        <is>
          <t>e</t>
        </is>
      </c>
      <c r="B10" s="8" t="inlineStr">
        <is>
          <t>Zusatzzeit je Eskalation</t>
        </is>
      </c>
      <c r="C10" s="8" t="inlineStr">
        <is>
          <t>min</t>
        </is>
      </c>
      <c r="D10" s="8" t="inlineStr">
        <is>
          <t>Annahme</t>
        </is>
      </c>
      <c r="E10" s="15" t="n">
        <v>10</v>
      </c>
      <c r="F10" s="15" t="n">
        <v>15</v>
      </c>
      <c r="G10" s="15" t="n">
        <v>20</v>
      </c>
      <c r="H10" s="3" t="inlineStr">
        <is>
          <t>DEMI, Tabelle 14; keine belastbare Referenz verfügbar</t>
        </is>
      </c>
    </row>
    <row r="11">
      <c r="A11" s="8" t="inlineStr">
        <is>
          <t>c</t>
        </is>
      </c>
      <c r="B11" s="8" t="inlineStr">
        <is>
          <t>Variable Kosten je Ticket (RAG)</t>
        </is>
      </c>
      <c r="C11" s="8" t="inlineStr">
        <is>
          <t>€</t>
        </is>
      </c>
      <c r="D11" s="8" t="inlineStr">
        <is>
          <t>Messwert</t>
        </is>
      </c>
      <c r="E11" s="16" t="n">
        <v>0.00063485</v>
      </c>
      <c r="F11" s="17">
        <f>$E$11</f>
        <v/>
      </c>
      <c r="G11" s="17">
        <f>$E$11</f>
        <v/>
      </c>
      <c r="H11" s="3" t="inlineStr">
        <is>
          <t>Strang 1, Lauf haupt-01: Mittelwert RAG (B-05)</t>
        </is>
      </c>
    </row>
    <row r="12">
      <c r="A12" s="8" t="inlineStr">
        <is>
          <t>s</t>
        </is>
      </c>
      <c r="B12" s="8" t="inlineStr">
        <is>
          <t>Serverpreis Hetzner CX33 (4 vCPU, 8 GB RAM, 80 GB)</t>
        </is>
      </c>
      <c r="C12" s="8" t="inlineStr">
        <is>
          <t>€/Monat</t>
        </is>
      </c>
      <c r="D12" s="8" t="inlineStr">
        <is>
          <t>Sekundärdaten</t>
        </is>
      </c>
      <c r="E12" s="18" t="n">
        <v>8.49</v>
      </c>
      <c r="F12" s="19">
        <f>$E$12</f>
        <v/>
      </c>
      <c r="G12" s="19">
        <f>$E$12</f>
        <v/>
      </c>
      <c r="H12" s="3" t="inlineStr">
        <is>
          <t>Hetzner Docs, „Hetzner Price Adjustment 15 June 2026“, Preis ab 15.06.2026, netto, abgerufen am 20.10.2026 (B-04)</t>
        </is>
      </c>
    </row>
    <row r="13">
      <c r="A13" s="8" t="inlineStr">
        <is>
          <t>ip</t>
        </is>
      </c>
      <c r="B13" s="8" t="inlineStr">
        <is>
          <t>Primäre IPv4-Adresse</t>
        </is>
      </c>
      <c r="C13" s="8" t="inlineStr">
        <is>
          <t>€/Monat</t>
        </is>
      </c>
      <c r="D13" s="8" t="inlineStr">
        <is>
          <t>Sekundärdaten</t>
        </is>
      </c>
      <c r="E13" s="18" t="n">
        <v>0.5</v>
      </c>
      <c r="F13" s="19">
        <f>$E$13</f>
        <v/>
      </c>
      <c r="G13" s="19">
        <f>$E$13</f>
        <v/>
      </c>
      <c r="H13" s="3" t="inlineStr">
        <is>
          <t>Hetzner Docs, „IPv4 pricing“, netto, abgerufen am 20.10.2026 (B-04)</t>
        </is>
      </c>
    </row>
    <row r="14">
      <c r="A14" s="8" t="inlineStr">
        <is>
          <t>bk</t>
        </is>
      </c>
      <c r="B14" s="8" t="inlineStr">
        <is>
          <t>Backup-Aufschlag</t>
        </is>
      </c>
      <c r="C14" s="8" t="inlineStr">
        <is>
          <t>Anteil am Serverpreis</t>
        </is>
      </c>
      <c r="D14" s="8" t="inlineStr">
        <is>
          <t>Sekundärdaten</t>
        </is>
      </c>
      <c r="E14" s="10" t="n">
        <v>0.2</v>
      </c>
      <c r="F14" s="20">
        <f>$E$14</f>
        <v/>
      </c>
      <c r="G14" s="20">
        <f>$E$14</f>
        <v/>
      </c>
      <c r="H14" s="3" t="inlineStr">
        <is>
          <t>Hetzner Docs, Cloud Billing FAQ, abgerufen am 20.10.2026 (B-04)</t>
        </is>
      </c>
    </row>
    <row r="15">
      <c r="A15" s="8" t="inlineStr">
        <is>
          <t>hk</t>
        </is>
      </c>
      <c r="B15" s="8" t="inlineStr">
        <is>
          <t>Aufwand KB-Pflege</t>
        </is>
      </c>
      <c r="C15" s="8" t="inlineStr">
        <is>
          <t>h/Monat</t>
        </is>
      </c>
      <c r="D15" s="8" t="inlineStr">
        <is>
          <t>Annahme</t>
        </is>
      </c>
      <c r="E15" s="15" t="n">
        <v>10</v>
      </c>
      <c r="F15" s="15" t="n">
        <v>5</v>
      </c>
      <c r="G15" s="15" t="n">
        <v>2</v>
      </c>
      <c r="H15" s="3" t="inlineStr">
        <is>
          <t>DEMI, Tabelle 14; konservativ = höchster Aufwand (B-02)</t>
        </is>
      </c>
    </row>
    <row r="16">
      <c r="A16" s="8" t="inlineStr">
        <is>
          <t>hm</t>
        </is>
      </c>
      <c r="B16" s="8" t="inlineStr">
        <is>
          <t>Aufwand Monitoring</t>
        </is>
      </c>
      <c r="C16" s="8" t="inlineStr">
        <is>
          <t>h/Monat</t>
        </is>
      </c>
      <c r="D16" s="8" t="inlineStr">
        <is>
          <t>Annahme</t>
        </is>
      </c>
      <c r="E16" s="15" t="n">
        <v>4</v>
      </c>
      <c r="F16" s="15" t="n">
        <v>2</v>
      </c>
      <c r="G16" s="15" t="n">
        <v>1</v>
      </c>
      <c r="H16" s="3" t="inlineStr">
        <is>
          <t>DEMI, Tabelle 14; konservativ = höchster Aufwand (B-02)</t>
        </is>
      </c>
    </row>
    <row r="17">
      <c r="A17" s="8" t="inlineStr">
        <is>
          <t>cl</t>
        </is>
      </c>
      <c r="B17" s="8" t="inlineStr">
        <is>
          <t>Variable Kosten je Ticket (LLM-only)</t>
        </is>
      </c>
      <c r="C17" s="8" t="inlineStr">
        <is>
          <t>€</t>
        </is>
      </c>
      <c r="D17" s="8" t="inlineStr">
        <is>
          <t>Messwert</t>
        </is>
      </c>
      <c r="E17" s="16" t="n">
        <v>0.00032217</v>
      </c>
      <c r="F17" s="17">
        <f>$E$17</f>
        <v/>
      </c>
      <c r="G17" s="17">
        <f>$E$17</f>
        <v/>
      </c>
      <c r="H17" s="3" t="inlineStr">
        <is>
          <t>Strang 1, Lauf haupt-01: Mittelwert LLM-only; nur für die Schwelle RAG vs. LLM-only (B-09)</t>
        </is>
      </c>
    </row>
    <row r="18">
      <c r="A18" s="8" t="inlineStr">
        <is>
          <t>dl</t>
        </is>
      </c>
      <c r="B18" s="8" t="inlineStr">
        <is>
          <t>Latenzdifferenz RAG minus LLM-only</t>
        </is>
      </c>
      <c r="C18" s="8" t="inlineStr">
        <is>
          <t>s</t>
        </is>
      </c>
      <c r="D18" s="8" t="inlineStr">
        <is>
          <t>Messwert</t>
        </is>
      </c>
      <c r="E18" s="18" t="n">
        <v>1.02074417</v>
      </c>
      <c r="F18" s="19">
        <f>$E$18</f>
        <v/>
      </c>
      <c r="G18" s="19">
        <f>$E$18</f>
        <v/>
      </c>
      <c r="H18" s="3" t="inlineStr">
        <is>
          <t>Strang 1, Lauf haupt-01: Mittelwert der Differenzen je Ticket; nur für die Schwelle (B-09)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Monatliche Modellrechnung je Szenario (Modellergebnisse, keine Messwerte)</t>
        </is>
      </c>
    </row>
    <row r="2">
      <c r="A2" s="6" t="inlineStr">
        <is>
          <t>Zeitangaben werden von Minuten in Stunden umgerechnet (/60).</t>
        </is>
      </c>
    </row>
    <row r="4">
      <c r="A4" s="21" t="inlineStr">
        <is>
          <t>Größe</t>
        </is>
      </c>
      <c r="B4" s="21" t="inlineStr">
        <is>
          <t>Einheit</t>
        </is>
      </c>
      <c r="C4" s="21" t="inlineStr">
        <is>
          <t>konservativ</t>
        </is>
      </c>
      <c r="D4" s="21" t="inlineStr">
        <is>
          <t>mittel</t>
        </is>
      </c>
      <c r="E4" s="21" t="inlineStr">
        <is>
          <t>optimistisch</t>
        </is>
      </c>
    </row>
    <row r="5">
      <c r="A5" s="8" t="inlineStr">
        <is>
          <t>Unterstützte Tickets</t>
        </is>
      </c>
      <c r="B5" s="8" t="inlineStr">
        <is>
          <t>Tickets/Monat</t>
        </is>
      </c>
      <c r="C5" s="22">
        <f>Parameter!$E$5*Parameter!$E$6</f>
        <v/>
      </c>
      <c r="D5" s="22">
        <f>Parameter!$F$5*Parameter!$F$6</f>
        <v/>
      </c>
      <c r="E5" s="22">
        <f>Parameter!$G$5*Parameter!$G$6</f>
        <v/>
      </c>
    </row>
    <row r="6">
      <c r="A6" s="8" t="inlineStr">
        <is>
          <t>Nutzen aus Zeitersparnis</t>
        </is>
      </c>
      <c r="B6" s="8" t="inlineStr">
        <is>
          <t>€/Monat</t>
        </is>
      </c>
      <c r="C6" s="23">
        <f>C5*Parameter!$E$7/60*Parameter!$E$8</f>
        <v/>
      </c>
      <c r="D6" s="23">
        <f>D5*Parameter!$F$7/60*Parameter!$F$8</f>
        <v/>
      </c>
      <c r="E6" s="23">
        <f>E5*Parameter!$G$7/60*Parameter!$G$8</f>
        <v/>
      </c>
    </row>
    <row r="7">
      <c r="A7" s="8" t="inlineStr">
        <is>
          <t>Nutzen aus vermiedenen Eskalationen</t>
        </is>
      </c>
      <c r="B7" s="8" t="inlineStr">
        <is>
          <t>€/Monat</t>
        </is>
      </c>
      <c r="C7" s="23">
        <f>C5*Parameter!$E$9*Parameter!$E$10/60*Parameter!$E$8</f>
        <v/>
      </c>
      <c r="D7" s="23">
        <f>D5*Parameter!$F$9*Parameter!$F$10/60*Parameter!$F$8</f>
        <v/>
      </c>
      <c r="E7" s="23">
        <f>E5*Parameter!$G$9*Parameter!$G$10/60*Parameter!$G$8</f>
        <v/>
      </c>
    </row>
    <row r="8">
      <c r="A8" s="8" t="inlineStr">
        <is>
          <t>Nutzen gesamt</t>
        </is>
      </c>
      <c r="B8" s="8" t="inlineStr">
        <is>
          <t>€/Monat</t>
        </is>
      </c>
      <c r="C8" s="23">
        <f>C6+C7</f>
        <v/>
      </c>
      <c r="D8" s="23">
        <f>D6+D7</f>
        <v/>
      </c>
      <c r="E8" s="23">
        <f>E6+E7</f>
        <v/>
      </c>
    </row>
    <row r="9">
      <c r="A9" s="8" t="inlineStr">
        <is>
          <t>Hostingkosten (Server, IPv4, Backup)</t>
        </is>
      </c>
      <c r="B9" s="8" t="inlineStr">
        <is>
          <t>€/Monat</t>
        </is>
      </c>
      <c r="C9" s="23">
        <f>Parameter!$E$12*(1+Parameter!$E$14)+Parameter!$E$13</f>
        <v/>
      </c>
      <c r="D9" s="23">
        <f>Parameter!$F$12*(1+Parameter!$F$14)+Parameter!$F$13</f>
        <v/>
      </c>
      <c r="E9" s="23">
        <f>Parameter!$G$12*(1+Parameter!$G$14)+Parameter!$G$13</f>
        <v/>
      </c>
    </row>
    <row r="10">
      <c r="A10" s="8" t="inlineStr">
        <is>
          <t>KB-Pflege</t>
        </is>
      </c>
      <c r="B10" s="8" t="inlineStr">
        <is>
          <t>€/Monat</t>
        </is>
      </c>
      <c r="C10" s="23">
        <f>Parameter!$E$15*Parameter!$E$8</f>
        <v/>
      </c>
      <c r="D10" s="23">
        <f>Parameter!$F$15*Parameter!$F$8</f>
        <v/>
      </c>
      <c r="E10" s="23">
        <f>Parameter!$G$15*Parameter!$G$8</f>
        <v/>
      </c>
    </row>
    <row r="11">
      <c r="A11" s="8" t="inlineStr">
        <is>
          <t>Monitoring</t>
        </is>
      </c>
      <c r="B11" s="8" t="inlineStr">
        <is>
          <t>€/Monat</t>
        </is>
      </c>
      <c r="C11" s="23">
        <f>Parameter!$E$16*Parameter!$E$8</f>
        <v/>
      </c>
      <c r="D11" s="23">
        <f>Parameter!$F$16*Parameter!$F$8</f>
        <v/>
      </c>
      <c r="E11" s="23">
        <f>Parameter!$G$16*Parameter!$G$8</f>
        <v/>
      </c>
    </row>
    <row r="12">
      <c r="A12" s="8" t="inlineStr">
        <is>
          <t>Fixkosten</t>
        </is>
      </c>
      <c r="B12" s="8" t="inlineStr">
        <is>
          <t>€/Monat</t>
        </is>
      </c>
      <c r="C12" s="23">
        <f>C9+C10+C11</f>
        <v/>
      </c>
      <c r="D12" s="23">
        <f>D9+D10+D11</f>
        <v/>
      </c>
      <c r="E12" s="23">
        <f>E9+E10+E11</f>
        <v/>
      </c>
    </row>
    <row r="13">
      <c r="A13" s="8" t="inlineStr">
        <is>
          <t>Variable Kosten</t>
        </is>
      </c>
      <c r="B13" s="8" t="inlineStr">
        <is>
          <t>€/Monat</t>
        </is>
      </c>
      <c r="C13" s="23">
        <f>C5*Parameter!$E$11</f>
        <v/>
      </c>
      <c r="D13" s="23">
        <f>D5*Parameter!$F$11</f>
        <v/>
      </c>
      <c r="E13" s="23">
        <f>E5*Parameter!$G$11</f>
        <v/>
      </c>
    </row>
    <row r="14">
      <c r="A14" s="24" t="inlineStr">
        <is>
          <t>Kosten gesamt (TCO je Monat)</t>
        </is>
      </c>
      <c r="B14" s="8" t="inlineStr">
        <is>
          <t>€/Monat</t>
        </is>
      </c>
      <c r="C14" s="23">
        <f>C12+C13</f>
        <v/>
      </c>
      <c r="D14" s="23">
        <f>D12+D13</f>
        <v/>
      </c>
      <c r="E14" s="23">
        <f>E12+E13</f>
        <v/>
      </c>
    </row>
    <row r="15">
      <c r="A15" s="24" t="inlineStr">
        <is>
          <t>Nettonutzen</t>
        </is>
      </c>
      <c r="B15" s="8" t="inlineStr">
        <is>
          <t>€/Monat</t>
        </is>
      </c>
      <c r="C15" s="23">
        <f>C8-C14</f>
        <v/>
      </c>
      <c r="D15" s="23">
        <f>D8-D14</f>
        <v/>
      </c>
      <c r="E15" s="23">
        <f>E8-E14</f>
        <v/>
      </c>
    </row>
    <row r="16">
      <c r="A16" s="24" t="inlineStr">
        <is>
          <t>Modellierter ROI</t>
        </is>
      </c>
      <c r="B16" s="8" t="inlineStr">
        <is>
          <t>Anteil</t>
        </is>
      </c>
      <c r="C16" s="25">
        <f>C15/C14</f>
        <v/>
      </c>
      <c r="D16" s="25">
        <f>D15/D14</f>
        <v/>
      </c>
      <c r="E16" s="25">
        <f>E15/E14</f>
        <v/>
      </c>
    </row>
    <row r="17">
      <c r="A17" s="8" t="inlineStr">
        <is>
          <t>Anteil der variablen Kosten an den Kosten</t>
        </is>
      </c>
      <c r="B17" s="8" t="inlineStr">
        <is>
          <t>Anteil</t>
        </is>
      </c>
      <c r="C17" s="26">
        <f>C13/C14</f>
        <v/>
      </c>
      <c r="D17" s="26">
        <f>D13/D14</f>
        <v/>
      </c>
      <c r="E17" s="26">
        <f>E13/E14</f>
        <v/>
      </c>
    </row>
    <row r="18">
      <c r="A18" s="8" t="inlineStr">
        <is>
          <t>Deckungsbeitrag je unterstütztem Ticket</t>
        </is>
      </c>
      <c r="B18" s="8" t="inlineStr">
        <is>
          <t>€/Ticket</t>
        </is>
      </c>
      <c r="C18" s="27">
        <f>(Parameter!$E$7+Parameter!$E$9*Parameter!$E$10)/60*Parameter!$E$8-Parameter!$E$11</f>
        <v/>
      </c>
      <c r="D18" s="27">
        <f>(Parameter!$F$7+Parameter!$F$9*Parameter!$F$10)/60*Parameter!$F$8-Parameter!$F$11</f>
        <v/>
      </c>
      <c r="E18" s="27">
        <f>(Parameter!$G$7+Parameter!$G$9*Parameter!$G$10)/60*Parameter!$G$8-Parameter!$G$11</f>
        <v/>
      </c>
    </row>
    <row r="19">
      <c r="A19" s="24" t="inlineStr">
        <is>
          <t>Break-even-Ticketvolumen</t>
        </is>
      </c>
      <c r="B19" s="8" t="inlineStr">
        <is>
          <t>Tickets/Monat</t>
        </is>
      </c>
      <c r="C19" s="22">
        <f>IF(C18&gt;0,C12/(Parameter!$E$6*C18),"nicht erreichbar")</f>
        <v/>
      </c>
      <c r="D19" s="22">
        <f>IF(D18&gt;0,D12/(Parameter!$F$6*D18),"nicht erreichbar")</f>
        <v/>
      </c>
      <c r="E19" s="22">
        <f>IF(E18&gt;0,E12/(Parameter!$G$6*E18),"nicht erreichbar")</f>
        <v/>
      </c>
    </row>
    <row r="20">
      <c r="A20" s="8" t="inlineStr">
        <is>
          <t>Break-even beim angenommenen Volumen erreicht</t>
        </is>
      </c>
      <c r="B20" s="8" t="inlineStr"/>
      <c r="C20" s="28">
        <f>IF(Parameter!$E$5&gt;=C19,"ja","nein")</f>
        <v/>
      </c>
      <c r="D20" s="28">
        <f>IF(Parameter!$F$5&gt;=D19,"ja","nein")</f>
        <v/>
      </c>
      <c r="E20" s="28">
        <f>IF(Parameter!$G$5&gt;=E19,"ja","nein")</f>
        <v/>
      </c>
    </row>
    <row r="21">
      <c r="A21" s="8" t="inlineStr">
        <is>
          <t>Kontrolle: Nettonutzen beim Break-even-Volumen (soll 0)</t>
        </is>
      </c>
      <c r="B21" s="8" t="inlineStr">
        <is>
          <t>€/Monat</t>
        </is>
      </c>
      <c r="C21" s="29">
        <f>IFERROR(C19*Parameter!$E$6*C18-C12,"–")</f>
        <v/>
      </c>
      <c r="D21" s="29">
        <f>IFERROR(D19*Parameter!$F$6*D18-D12,"–")</f>
        <v/>
      </c>
      <c r="E21" s="29">
        <f>IFERROR(E19*Parameter!$G$6*E18-E12,"–")</f>
        <v/>
      </c>
    </row>
    <row r="23">
      <c r="A23" s="24" t="inlineStr">
        <is>
          <t>Amortisationssicht (Ergänzung, B-08)</t>
        </is>
      </c>
    </row>
    <row r="24">
      <c r="A24" s="8" t="inlineStr">
        <is>
          <t>Max. Einmalinvestition, amortisiert in 12 Monaten</t>
        </is>
      </c>
      <c r="B24" s="8" t="inlineStr">
        <is>
          <t>€</t>
        </is>
      </c>
      <c r="C24" s="22">
        <f>IF(C15&gt;0,C15*12,"keine Amortisation")</f>
        <v/>
      </c>
      <c r="D24" s="22">
        <f>IF(D15&gt;0,D15*12,"keine Amortisation")</f>
        <v/>
      </c>
      <c r="E24" s="22">
        <f>IF(E15&gt;0,E15*12,"keine Amortisation")</f>
        <v/>
      </c>
    </row>
    <row r="25">
      <c r="A25" s="8" t="inlineStr">
        <is>
          <t>Max. Einmalinvestition, amortisiert in 24 Monaten</t>
        </is>
      </c>
      <c r="B25" s="8" t="inlineStr">
        <is>
          <t>€</t>
        </is>
      </c>
      <c r="C25" s="22">
        <f>IF(C15&gt;0,C15*24,"keine Amortisation")</f>
        <v/>
      </c>
      <c r="D25" s="22">
        <f>IF(D15&gt;0,D15*24,"keine Amortisation")</f>
        <v/>
      </c>
      <c r="E25" s="22">
        <f>IF(E15&gt;0,E15*24,"keine Amortisation")</f>
        <v/>
      </c>
    </row>
    <row r="26">
      <c r="A26" s="8" t="inlineStr">
        <is>
          <t>Max. Einmalinvestition, amortisiert in 36 Monaten</t>
        </is>
      </c>
      <c r="B26" s="8" t="inlineStr">
        <is>
          <t>€</t>
        </is>
      </c>
      <c r="C26" s="22">
        <f>IF(C15&gt;0,C15*36,"keine Amortisation")</f>
        <v/>
      </c>
      <c r="D26" s="22">
        <f>IF(D15&gt;0,D15*36,"keine Amortisation")</f>
        <v/>
      </c>
      <c r="E26" s="22">
        <f>IF(E15&gt;0,E15*36,"keine Amortisation")</f>
        <v/>
      </c>
    </row>
    <row r="28">
      <c r="A28" s="24" t="inlineStr">
        <is>
          <t>Schwelle RAG gegenüber LLM-only (Ergänzung, B-09)</t>
        </is>
      </c>
    </row>
    <row r="29">
      <c r="A29" s="8" t="inlineStr">
        <is>
          <t>Mehrkosten RAG gegenüber LLM-only</t>
        </is>
      </c>
      <c r="B29" s="8" t="inlineStr">
        <is>
          <t>€/Monat</t>
        </is>
      </c>
      <c r="C29" s="23">
        <f>C9+C10+C5*(Parameter!$E$11-Parameter!$E$17)</f>
        <v/>
      </c>
      <c r="D29" s="23">
        <f>D9+D10+D5*(Parameter!$F$11-Parameter!$F$17)</f>
        <v/>
      </c>
      <c r="E29" s="23">
        <f>E9+E10+E5*(Parameter!$G$11-Parameter!$G$17)</f>
        <v/>
      </c>
    </row>
    <row r="30">
      <c r="A30" s="8" t="inlineStr">
        <is>
          <t>Erforderliche Zeitersparnis zur Deckung der Mehrkosten</t>
        </is>
      </c>
      <c r="B30" s="8" t="inlineStr">
        <is>
          <t>s je unterstütztem Ticket</t>
        </is>
      </c>
      <c r="C30" s="29">
        <f>C29/(C5*Parameter!$E$8)*3600</f>
        <v/>
      </c>
      <c r="D30" s="29">
        <f>D29/(D5*Parameter!$F$8)*3600</f>
        <v/>
      </c>
      <c r="E30" s="29">
        <f>E29/(E5*Parameter!$G$8)*3600</f>
        <v/>
      </c>
    </row>
    <row r="31">
      <c r="A31" s="8" t="inlineStr">
        <is>
          <t>zuzüglich Latenzdifferenz (Wartezeit)</t>
        </is>
      </c>
      <c r="B31" s="8" t="inlineStr">
        <is>
          <t>s je unterstütztem Ticket</t>
        </is>
      </c>
      <c r="C31" s="29">
        <f>Parameter!$E$18</f>
        <v/>
      </c>
      <c r="D31" s="29">
        <f>Parameter!$F$18</f>
        <v/>
      </c>
      <c r="E31" s="29">
        <f>Parameter!$G$18</f>
        <v/>
      </c>
    </row>
    <row r="32">
      <c r="A32" s="8" t="inlineStr">
        <is>
          <t>Erforderliche zusätzliche Zeitersparnis gegenüber LLM-only</t>
        </is>
      </c>
      <c r="B32" s="8" t="inlineStr">
        <is>
          <t>s je unterstütztem Ticket</t>
        </is>
      </c>
      <c r="C32" s="29">
        <f>C30+C31</f>
        <v/>
      </c>
      <c r="D32" s="29">
        <f>D30+D31</f>
        <v/>
      </c>
      <c r="E32" s="29">
        <f>E30+E31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20" customWidth="1" min="4" max="4"/>
    <col width="14" customWidth="1" min="5" max="5"/>
    <col width="8" customWidth="1" min="6" max="6"/>
  </cols>
  <sheetData>
    <row r="1">
      <c r="A1" s="5" t="inlineStr">
        <is>
          <t>Sensitivitätsanalyse des modellierten ROI (One-at-a-time, DEMI 1.5)</t>
        </is>
      </c>
    </row>
    <row r="3">
      <c r="A3" s="8" t="inlineStr">
        <is>
          <t>Variationsbreite</t>
        </is>
      </c>
      <c r="C3" s="10" t="n">
        <v>0.2</v>
      </c>
      <c r="D3" s="6" t="inlineStr">
        <is>
          <t>jeder Parameter einzeln, alle übrigen auf dem Szenariowert</t>
        </is>
      </c>
    </row>
    <row r="5">
      <c r="A5" s="24" t="inlineStr">
        <is>
          <t>Szenario konservativ</t>
        </is>
      </c>
    </row>
    <row r="6">
      <c r="A6" s="21" t="inlineStr">
        <is>
          <t>Parameter</t>
        </is>
      </c>
      <c r="B6" s="21" t="inlineStr">
        <is>
          <t>ROI bei −Variation</t>
        </is>
      </c>
      <c r="C6" s="21" t="inlineStr">
        <is>
          <t>ROI Basis</t>
        </is>
      </c>
      <c r="D6" s="21" t="inlineStr">
        <is>
          <t>ROI bei +Variation</t>
        </is>
      </c>
      <c r="E6" s="21" t="inlineStr">
        <is>
          <t>Spannweite</t>
        </is>
      </c>
      <c r="F6" s="21" t="inlineStr">
        <is>
          <t>Rang</t>
        </is>
      </c>
    </row>
    <row r="7">
      <c r="A7" s="8" t="inlineStr">
        <is>
          <t>Ticketvolumen</t>
        </is>
      </c>
      <c r="B7" s="30">
        <f>((Parameter!$E$5*(1-$C$3))*Parameter!$E$6*(Parameter!$E$7+Parameter!$E$9*Parameter!$E$10)/60*Parameter!$E$8-((Parameter!$E$12*(1+Parameter!$E$14)+Parameter!$E$13)+(Parameter!$E$15+Parameter!$E$16)*Parameter!$E$8+(Parameter!$E$5*(1-$C$3))*Parameter!$E$6*Parameter!$E$11))/((Parameter!$E$12*(1+Parameter!$E$14)+Parameter!$E$13)+(Parameter!$E$15+Parameter!$E$16)*Parameter!$E$8+(Parameter!$E$5*(1-$C$3))*Parameter!$E$6*Parameter!$E$11)</f>
        <v/>
      </c>
      <c r="C7" s="30">
        <f>Szenarien!C16</f>
        <v/>
      </c>
      <c r="D7" s="30">
        <f>((Parameter!$E$5*(1+$C$3))*Parameter!$E$6*(Parameter!$E$7+Parameter!$E$9*Parameter!$E$10)/60*Parameter!$E$8-((Parameter!$E$12*(1+Parameter!$E$14)+Parameter!$E$13)+(Parameter!$E$15+Parameter!$E$16)*Parameter!$E$8+(Parameter!$E$5*(1+$C$3))*Parameter!$E$6*Parameter!$E$11))/((Parameter!$E$12*(1+Parameter!$E$14)+Parameter!$E$13)+(Parameter!$E$15+Parameter!$E$16)*Parameter!$E$8+(Parameter!$E$5*(1+$C$3))*Parameter!$E$6*Parameter!$E$11)</f>
        <v/>
      </c>
      <c r="E7" s="30">
        <f>ROUND(ABS(D7-B7),9)</f>
        <v/>
      </c>
      <c r="F7" s="8">
        <f>RANK(E7,$E$7:$E$16)</f>
        <v/>
      </c>
    </row>
    <row r="8">
      <c r="A8" s="8" t="inlineStr">
        <is>
          <t>Adoptionsrate</t>
        </is>
      </c>
      <c r="B8" s="30">
        <f>(Parameter!$E$5*(Parameter!$E$6*(1-$C$3))*(Parameter!$E$7+Parameter!$E$9*Parameter!$E$10)/60*Parameter!$E$8-((Parameter!$E$12*(1+Parameter!$E$14)+Parameter!$E$13)+(Parameter!$E$15+Parameter!$E$16)*Parameter!$E$8+Parameter!$E$5*(Parameter!$E$6*(1-$C$3))*Parameter!$E$11))/((Parameter!$E$12*(1+Parameter!$E$14)+Parameter!$E$13)+(Parameter!$E$15+Parameter!$E$16)*Parameter!$E$8+Parameter!$E$5*(Parameter!$E$6*(1-$C$3))*Parameter!$E$11)</f>
        <v/>
      </c>
      <c r="C8" s="30">
        <f>Szenarien!C16</f>
        <v/>
      </c>
      <c r="D8" s="30">
        <f>(Parameter!$E$5*(Parameter!$E$6*(1+$C$3))*(Parameter!$E$7+Parameter!$E$9*Parameter!$E$10)/60*Parameter!$E$8-((Parameter!$E$12*(1+Parameter!$E$14)+Parameter!$E$13)+(Parameter!$E$15+Parameter!$E$16)*Parameter!$E$8+Parameter!$E$5*(Parameter!$E$6*(1+$C$3))*Parameter!$E$11))/((Parameter!$E$12*(1+Parameter!$E$14)+Parameter!$E$13)+(Parameter!$E$15+Parameter!$E$16)*Parameter!$E$8+Parameter!$E$5*(Parameter!$E$6*(1+$C$3))*Parameter!$E$11)</f>
        <v/>
      </c>
      <c r="E8" s="30">
        <f>ROUND(ABS(D8-B8),9)</f>
        <v/>
      </c>
      <c r="F8" s="8">
        <f>RANK(E8,$E$7:$E$16)</f>
        <v/>
      </c>
    </row>
    <row r="9">
      <c r="A9" s="8" t="inlineStr">
        <is>
          <t>Zeitersparnis je Ticket</t>
        </is>
      </c>
      <c r="B9" s="30">
        <f>(Parameter!$E$5*Parameter!$E$6*((Parameter!$E$7*(1-$C$3))+Parameter!$E$9*Parameter!$E$10)/60*Parameter!$E$8-((Parameter!$E$12*(1+Parameter!$E$14)+Parameter!$E$13)+(Parameter!$E$15+Parameter!$E$16)*Parameter!$E$8+Parameter!$E$5*Parameter!$E$6*Parameter!$E$11))/((Parameter!$E$12*(1+Parameter!$E$14)+Parameter!$E$13)+(Parameter!$E$15+Parameter!$E$16)*Parameter!$E$8+Parameter!$E$5*Parameter!$E$6*Parameter!$E$11)</f>
        <v/>
      </c>
      <c r="C9" s="30">
        <f>Szenarien!C16</f>
        <v/>
      </c>
      <c r="D9" s="30">
        <f>(Parameter!$E$5*Parameter!$E$6*((Parameter!$E$7*(1+$C$3))+Parameter!$E$9*Parameter!$E$10)/60*Parameter!$E$8-((Parameter!$E$12*(1+Parameter!$E$14)+Parameter!$E$13)+(Parameter!$E$15+Parameter!$E$16)*Parameter!$E$8+Parameter!$E$5*Parameter!$E$6*Parameter!$E$11))/((Parameter!$E$12*(1+Parameter!$E$14)+Parameter!$E$13)+(Parameter!$E$15+Parameter!$E$16)*Parameter!$E$8+Parameter!$E$5*Parameter!$E$6*Parameter!$E$11)</f>
        <v/>
      </c>
      <c r="E9" s="30">
        <f>ROUND(ABS(D9-B9),9)</f>
        <v/>
      </c>
      <c r="F9" s="8">
        <f>RANK(E9,$E$7:$E$16)</f>
        <v/>
      </c>
    </row>
    <row r="10">
      <c r="A10" s="8" t="inlineStr">
        <is>
          <t>Personalkostensatz</t>
        </is>
      </c>
      <c r="B10" s="30">
        <f>(Parameter!$E$5*Parameter!$E$6*(Parameter!$E$7+Parameter!$E$9*Parameter!$E$10)/60*(Parameter!$E$8*(1-$C$3))-((Parameter!$E$12*(1+Parameter!$E$14)+Parameter!$E$13)+(Parameter!$E$15+Parameter!$E$16)*(Parameter!$E$8*(1-$C$3))+Parameter!$E$5*Parameter!$E$6*Parameter!$E$11))/((Parameter!$E$12*(1+Parameter!$E$14)+Parameter!$E$13)+(Parameter!$E$15+Parameter!$E$16)*(Parameter!$E$8*(1-$C$3))+Parameter!$E$5*Parameter!$E$6*Parameter!$E$11)</f>
        <v/>
      </c>
      <c r="C10" s="30">
        <f>Szenarien!C16</f>
        <v/>
      </c>
      <c r="D10" s="30">
        <f>(Parameter!$E$5*Parameter!$E$6*(Parameter!$E$7+Parameter!$E$9*Parameter!$E$10)/60*(Parameter!$E$8*(1+$C$3))-((Parameter!$E$12*(1+Parameter!$E$14)+Parameter!$E$13)+(Parameter!$E$15+Parameter!$E$16)*(Parameter!$E$8*(1+$C$3))+Parameter!$E$5*Parameter!$E$6*Parameter!$E$11))/((Parameter!$E$12*(1+Parameter!$E$14)+Parameter!$E$13)+(Parameter!$E$15+Parameter!$E$16)*(Parameter!$E$8*(1+$C$3))+Parameter!$E$5*Parameter!$E$6*Parameter!$E$11)</f>
        <v/>
      </c>
      <c r="E10" s="30">
        <f>ROUND(ABS(D10-B10),9)</f>
        <v/>
      </c>
      <c r="F10" s="8">
        <f>RANK(E10,$E$7:$E$16)</f>
        <v/>
      </c>
    </row>
    <row r="11">
      <c r="A11" s="8" t="inlineStr">
        <is>
          <t>Reduktion der Eskalationsquote</t>
        </is>
      </c>
      <c r="B11" s="30">
        <f>(Parameter!$E$5*Parameter!$E$6*(Parameter!$E$7+(Parameter!$E$9*(1-$C$3))*Parameter!$E$10)/60*Parameter!$E$8-((Parameter!$E$12*(1+Parameter!$E$14)+Parameter!$E$13)+(Parameter!$E$15+Parameter!$E$16)*Parameter!$E$8+Parameter!$E$5*Parameter!$E$6*Parameter!$E$11))/((Parameter!$E$12*(1+Parameter!$E$14)+Parameter!$E$13)+(Parameter!$E$15+Parameter!$E$16)*Parameter!$E$8+Parameter!$E$5*Parameter!$E$6*Parameter!$E$11)</f>
        <v/>
      </c>
      <c r="C11" s="30">
        <f>Szenarien!C16</f>
        <v/>
      </c>
      <c r="D11" s="30">
        <f>(Parameter!$E$5*Parameter!$E$6*(Parameter!$E$7+(Parameter!$E$9*(1+$C$3))*Parameter!$E$10)/60*Parameter!$E$8-((Parameter!$E$12*(1+Parameter!$E$14)+Parameter!$E$13)+(Parameter!$E$15+Parameter!$E$16)*Parameter!$E$8+Parameter!$E$5*Parameter!$E$6*Parameter!$E$11))/((Parameter!$E$12*(1+Parameter!$E$14)+Parameter!$E$13)+(Parameter!$E$15+Parameter!$E$16)*Parameter!$E$8+Parameter!$E$5*Parameter!$E$6*Parameter!$E$11)</f>
        <v/>
      </c>
      <c r="E11" s="30">
        <f>ROUND(ABS(D11-B11),9)</f>
        <v/>
      </c>
      <c r="F11" s="8">
        <f>RANK(E11,$E$7:$E$16)</f>
        <v/>
      </c>
    </row>
    <row r="12">
      <c r="A12" s="8" t="inlineStr">
        <is>
          <t>Zusatzzeit je Eskalation</t>
        </is>
      </c>
      <c r="B12" s="30">
        <f>(Parameter!$E$5*Parameter!$E$6*(Parameter!$E$7+Parameter!$E$9*(Parameter!$E$10*(1-$C$3)))/60*Parameter!$E$8-((Parameter!$E$12*(1+Parameter!$E$14)+Parameter!$E$13)+(Parameter!$E$15+Parameter!$E$16)*Parameter!$E$8+Parameter!$E$5*Parameter!$E$6*Parameter!$E$11))/((Parameter!$E$12*(1+Parameter!$E$14)+Parameter!$E$13)+(Parameter!$E$15+Parameter!$E$16)*Parameter!$E$8+Parameter!$E$5*Parameter!$E$6*Parameter!$E$11)</f>
        <v/>
      </c>
      <c r="C12" s="30">
        <f>Szenarien!C16</f>
        <v/>
      </c>
      <c r="D12" s="30">
        <f>(Parameter!$E$5*Parameter!$E$6*(Parameter!$E$7+Parameter!$E$9*(Parameter!$E$10*(1+$C$3)))/60*Parameter!$E$8-((Parameter!$E$12*(1+Parameter!$E$14)+Parameter!$E$13)+(Parameter!$E$15+Parameter!$E$16)*Parameter!$E$8+Parameter!$E$5*Parameter!$E$6*Parameter!$E$11))/((Parameter!$E$12*(1+Parameter!$E$14)+Parameter!$E$13)+(Parameter!$E$15+Parameter!$E$16)*Parameter!$E$8+Parameter!$E$5*Parameter!$E$6*Parameter!$E$11)</f>
        <v/>
      </c>
      <c r="E12" s="30">
        <f>ROUND(ABS(D12-B12),9)</f>
        <v/>
      </c>
      <c r="F12" s="8">
        <f>RANK(E12,$E$7:$E$16)</f>
        <v/>
      </c>
    </row>
    <row r="13">
      <c r="A13" s="8" t="inlineStr">
        <is>
          <t>Variable Kosten je Ticket</t>
        </is>
      </c>
      <c r="B13" s="30">
        <f>(Parameter!$E$5*Parameter!$E$6*(Parameter!$E$7+Parameter!$E$9*Parameter!$E$10)/60*Parameter!$E$8-((Parameter!$E$12*(1+Parameter!$E$14)+Parameter!$E$13)+(Parameter!$E$15+Parameter!$E$16)*Parameter!$E$8+Parameter!$E$5*Parameter!$E$6*(Parameter!$E$11*(1-$C$3))))/((Parameter!$E$12*(1+Parameter!$E$14)+Parameter!$E$13)+(Parameter!$E$15+Parameter!$E$16)*Parameter!$E$8+Parameter!$E$5*Parameter!$E$6*(Parameter!$E$11*(1-$C$3)))</f>
        <v/>
      </c>
      <c r="C13" s="30">
        <f>Szenarien!C16</f>
        <v/>
      </c>
      <c r="D13" s="30">
        <f>(Parameter!$E$5*Parameter!$E$6*(Parameter!$E$7+Parameter!$E$9*Parameter!$E$10)/60*Parameter!$E$8-((Parameter!$E$12*(1+Parameter!$E$14)+Parameter!$E$13)+(Parameter!$E$15+Parameter!$E$16)*Parameter!$E$8+Parameter!$E$5*Parameter!$E$6*(Parameter!$E$11*(1+$C$3))))/((Parameter!$E$12*(1+Parameter!$E$14)+Parameter!$E$13)+(Parameter!$E$15+Parameter!$E$16)*Parameter!$E$8+Parameter!$E$5*Parameter!$E$6*(Parameter!$E$11*(1+$C$3)))</f>
        <v/>
      </c>
      <c r="E13" s="30">
        <f>ROUND(ABS(D13-B13),9)</f>
        <v/>
      </c>
      <c r="F13" s="8">
        <f>RANK(E13,$E$7:$E$16)</f>
        <v/>
      </c>
    </row>
    <row r="14">
      <c r="A14" s="8" t="inlineStr">
        <is>
          <t>Hostingkosten</t>
        </is>
      </c>
      <c r="B14" s="30">
        <f>(Parameter!$E$5*Parameter!$E$6*(Parameter!$E$7+Parameter!$E$9*Parameter!$E$10)/60*Parameter!$E$8-(((Parameter!$E$12*(1+Parameter!$E$14)+Parameter!$E$13)*(1-$C$3))+(Parameter!$E$15+Parameter!$E$16)*Parameter!$E$8+Parameter!$E$5*Parameter!$E$6*Parameter!$E$11))/(((Parameter!$E$12*(1+Parameter!$E$14)+Parameter!$E$13)*(1-$C$3))+(Parameter!$E$15+Parameter!$E$16)*Parameter!$E$8+Parameter!$E$5*Parameter!$E$6*Parameter!$E$11)</f>
        <v/>
      </c>
      <c r="C14" s="30">
        <f>Szenarien!C16</f>
        <v/>
      </c>
      <c r="D14" s="30">
        <f>(Parameter!$E$5*Parameter!$E$6*(Parameter!$E$7+Parameter!$E$9*Parameter!$E$10)/60*Parameter!$E$8-(((Parameter!$E$12*(1+Parameter!$E$14)+Parameter!$E$13)*(1+$C$3))+(Parameter!$E$15+Parameter!$E$16)*Parameter!$E$8+Parameter!$E$5*Parameter!$E$6*Parameter!$E$11))/(((Parameter!$E$12*(1+Parameter!$E$14)+Parameter!$E$13)*(1+$C$3))+(Parameter!$E$15+Parameter!$E$16)*Parameter!$E$8+Parameter!$E$5*Parameter!$E$6*Parameter!$E$11)</f>
        <v/>
      </c>
      <c r="E14" s="30">
        <f>ROUND(ABS(D14-B14),9)</f>
        <v/>
      </c>
      <c r="F14" s="8">
        <f>RANK(E14,$E$7:$E$16)</f>
        <v/>
      </c>
    </row>
    <row r="15">
      <c r="A15" s="8" t="inlineStr">
        <is>
          <t>Aufwand KB-Pflege</t>
        </is>
      </c>
      <c r="B15" s="30">
        <f>(Parameter!$E$5*Parameter!$E$6*(Parameter!$E$7+Parameter!$E$9*Parameter!$E$10)/60*Parameter!$E$8-((Parameter!$E$12*(1+Parameter!$E$14)+Parameter!$E$13)+((Parameter!$E$15*(1-$C$3))+Parameter!$E$16)*Parameter!$E$8+Parameter!$E$5*Parameter!$E$6*Parameter!$E$11))/((Parameter!$E$12*(1+Parameter!$E$14)+Parameter!$E$13)+((Parameter!$E$15*(1-$C$3))+Parameter!$E$16)*Parameter!$E$8+Parameter!$E$5*Parameter!$E$6*Parameter!$E$11)</f>
        <v/>
      </c>
      <c r="C15" s="30">
        <f>Szenarien!C16</f>
        <v/>
      </c>
      <c r="D15" s="30">
        <f>(Parameter!$E$5*Parameter!$E$6*(Parameter!$E$7+Parameter!$E$9*Parameter!$E$10)/60*Parameter!$E$8-((Parameter!$E$12*(1+Parameter!$E$14)+Parameter!$E$13)+((Parameter!$E$15*(1+$C$3))+Parameter!$E$16)*Parameter!$E$8+Parameter!$E$5*Parameter!$E$6*Parameter!$E$11))/((Parameter!$E$12*(1+Parameter!$E$14)+Parameter!$E$13)+((Parameter!$E$15*(1+$C$3))+Parameter!$E$16)*Parameter!$E$8+Parameter!$E$5*Parameter!$E$6*Parameter!$E$11)</f>
        <v/>
      </c>
      <c r="E15" s="30">
        <f>ROUND(ABS(D15-B15),9)</f>
        <v/>
      </c>
      <c r="F15" s="8">
        <f>RANK(E15,$E$7:$E$16)</f>
        <v/>
      </c>
    </row>
    <row r="16">
      <c r="A16" s="8" t="inlineStr">
        <is>
          <t>Aufwand Monitoring</t>
        </is>
      </c>
      <c r="B16" s="30">
        <f>(Parameter!$E$5*Parameter!$E$6*(Parameter!$E$7+Parameter!$E$9*Parameter!$E$10)/60*Parameter!$E$8-((Parameter!$E$12*(1+Parameter!$E$14)+Parameter!$E$13)+(Parameter!$E$15+(Parameter!$E$16*(1-$C$3)))*Parameter!$E$8+Parameter!$E$5*Parameter!$E$6*Parameter!$E$11))/((Parameter!$E$12*(1+Parameter!$E$14)+Parameter!$E$13)+(Parameter!$E$15+(Parameter!$E$16*(1-$C$3)))*Parameter!$E$8+Parameter!$E$5*Parameter!$E$6*Parameter!$E$11)</f>
        <v/>
      </c>
      <c r="C16" s="30">
        <f>Szenarien!C16</f>
        <v/>
      </c>
      <c r="D16" s="30">
        <f>(Parameter!$E$5*Parameter!$E$6*(Parameter!$E$7+Parameter!$E$9*Parameter!$E$10)/60*Parameter!$E$8-((Parameter!$E$12*(1+Parameter!$E$14)+Parameter!$E$13)+(Parameter!$E$15+(Parameter!$E$16*(1+$C$3)))*Parameter!$E$8+Parameter!$E$5*Parameter!$E$6*Parameter!$E$11))/((Parameter!$E$12*(1+Parameter!$E$14)+Parameter!$E$13)+(Parameter!$E$15+(Parameter!$E$16*(1+$C$3)))*Parameter!$E$8+Parameter!$E$5*Parameter!$E$6*Parameter!$E$11)</f>
        <v/>
      </c>
      <c r="E16" s="30">
        <f>ROUND(ABS(D16-B16),9)</f>
        <v/>
      </c>
      <c r="F16" s="8">
        <f>RANK(E16,$E$7:$E$16)</f>
        <v/>
      </c>
    </row>
    <row r="18">
      <c r="A18" s="24" t="inlineStr">
        <is>
          <t>Szenario mittel</t>
        </is>
      </c>
    </row>
    <row r="19">
      <c r="A19" s="21" t="inlineStr">
        <is>
          <t>Parameter</t>
        </is>
      </c>
      <c r="B19" s="21" t="inlineStr">
        <is>
          <t>ROI bei −Variation</t>
        </is>
      </c>
      <c r="C19" s="21" t="inlineStr">
        <is>
          <t>ROI Basis</t>
        </is>
      </c>
      <c r="D19" s="21" t="inlineStr">
        <is>
          <t>ROI bei +Variation</t>
        </is>
      </c>
      <c r="E19" s="21" t="inlineStr">
        <is>
          <t>Spannweite</t>
        </is>
      </c>
      <c r="F19" s="21" t="inlineStr">
        <is>
          <t>Rang</t>
        </is>
      </c>
    </row>
    <row r="20">
      <c r="A20" s="8" t="inlineStr">
        <is>
          <t>Ticketvolumen</t>
        </is>
      </c>
      <c r="B20" s="30">
        <f>((Parameter!$F$5*(1-$C$3))*Parameter!$F$6*(Parameter!$F$7+Parameter!$F$9*Parameter!$F$10)/60*Parameter!$F$8-((Parameter!$F$12*(1+Parameter!$F$14)+Parameter!$F$13)+(Parameter!$F$15+Parameter!$F$16)*Parameter!$F$8+(Parameter!$F$5*(1-$C$3))*Parameter!$F$6*Parameter!$F$11))/((Parameter!$F$12*(1+Parameter!$F$14)+Parameter!$F$13)+(Parameter!$F$15+Parameter!$F$16)*Parameter!$F$8+(Parameter!$F$5*(1-$C$3))*Parameter!$F$6*Parameter!$F$11)</f>
        <v/>
      </c>
      <c r="C20" s="30">
        <f>Szenarien!D16</f>
        <v/>
      </c>
      <c r="D20" s="30">
        <f>((Parameter!$F$5*(1+$C$3))*Parameter!$F$6*(Parameter!$F$7+Parameter!$F$9*Parameter!$F$10)/60*Parameter!$F$8-((Parameter!$F$12*(1+Parameter!$F$14)+Parameter!$F$13)+(Parameter!$F$15+Parameter!$F$16)*Parameter!$F$8+(Parameter!$F$5*(1+$C$3))*Parameter!$F$6*Parameter!$F$11))/((Parameter!$F$12*(1+Parameter!$F$14)+Parameter!$F$13)+(Parameter!$F$15+Parameter!$F$16)*Parameter!$F$8+(Parameter!$F$5*(1+$C$3))*Parameter!$F$6*Parameter!$F$11)</f>
        <v/>
      </c>
      <c r="E20" s="30">
        <f>ROUND(ABS(D20-B20),9)</f>
        <v/>
      </c>
      <c r="F20" s="8">
        <f>RANK(E20,$E$20:$E$29)</f>
        <v/>
      </c>
    </row>
    <row r="21">
      <c r="A21" s="8" t="inlineStr">
        <is>
          <t>Adoptionsrate</t>
        </is>
      </c>
      <c r="B21" s="30">
        <f>(Parameter!$F$5*(Parameter!$F$6*(1-$C$3))*(Parameter!$F$7+Parameter!$F$9*Parameter!$F$10)/60*Parameter!$F$8-((Parameter!$F$12*(1+Parameter!$F$14)+Parameter!$F$13)+(Parameter!$F$15+Parameter!$F$16)*Parameter!$F$8+Parameter!$F$5*(Parameter!$F$6*(1-$C$3))*Parameter!$F$11))/((Parameter!$F$12*(1+Parameter!$F$14)+Parameter!$F$13)+(Parameter!$F$15+Parameter!$F$16)*Parameter!$F$8+Parameter!$F$5*(Parameter!$F$6*(1-$C$3))*Parameter!$F$11)</f>
        <v/>
      </c>
      <c r="C21" s="30">
        <f>Szenarien!D16</f>
        <v/>
      </c>
      <c r="D21" s="30">
        <f>(Parameter!$F$5*(Parameter!$F$6*(1+$C$3))*(Parameter!$F$7+Parameter!$F$9*Parameter!$F$10)/60*Parameter!$F$8-((Parameter!$F$12*(1+Parameter!$F$14)+Parameter!$F$13)+(Parameter!$F$15+Parameter!$F$16)*Parameter!$F$8+Parameter!$F$5*(Parameter!$F$6*(1+$C$3))*Parameter!$F$11))/((Parameter!$F$12*(1+Parameter!$F$14)+Parameter!$F$13)+(Parameter!$F$15+Parameter!$F$16)*Parameter!$F$8+Parameter!$F$5*(Parameter!$F$6*(1+$C$3))*Parameter!$F$11)</f>
        <v/>
      </c>
      <c r="E21" s="30">
        <f>ROUND(ABS(D21-B21),9)</f>
        <v/>
      </c>
      <c r="F21" s="8">
        <f>RANK(E21,$E$20:$E$29)</f>
        <v/>
      </c>
    </row>
    <row r="22">
      <c r="A22" s="8" t="inlineStr">
        <is>
          <t>Zeitersparnis je Ticket</t>
        </is>
      </c>
      <c r="B22" s="30">
        <f>(Parameter!$F$5*Parameter!$F$6*((Parameter!$F$7*(1-$C$3))+Parameter!$F$9*Parameter!$F$10)/60*Parameter!$F$8-((Parameter!$F$12*(1+Parameter!$F$14)+Parameter!$F$13)+(Parameter!$F$15+Parameter!$F$16)*Parameter!$F$8+Parameter!$F$5*Parameter!$F$6*Parameter!$F$11))/((Parameter!$F$12*(1+Parameter!$F$14)+Parameter!$F$13)+(Parameter!$F$15+Parameter!$F$16)*Parameter!$F$8+Parameter!$F$5*Parameter!$F$6*Parameter!$F$11)</f>
        <v/>
      </c>
      <c r="C22" s="30">
        <f>Szenarien!D16</f>
        <v/>
      </c>
      <c r="D22" s="30">
        <f>(Parameter!$F$5*Parameter!$F$6*((Parameter!$F$7*(1+$C$3))+Parameter!$F$9*Parameter!$F$10)/60*Parameter!$F$8-((Parameter!$F$12*(1+Parameter!$F$14)+Parameter!$F$13)+(Parameter!$F$15+Parameter!$F$16)*Parameter!$F$8+Parameter!$F$5*Parameter!$F$6*Parameter!$F$11))/((Parameter!$F$12*(1+Parameter!$F$14)+Parameter!$F$13)+(Parameter!$F$15+Parameter!$F$16)*Parameter!$F$8+Parameter!$F$5*Parameter!$F$6*Parameter!$F$11)</f>
        <v/>
      </c>
      <c r="E22" s="30">
        <f>ROUND(ABS(D22-B22),9)</f>
        <v/>
      </c>
      <c r="F22" s="8">
        <f>RANK(E22,$E$20:$E$29)</f>
        <v/>
      </c>
    </row>
    <row r="23">
      <c r="A23" s="8" t="inlineStr">
        <is>
          <t>Personalkostensatz</t>
        </is>
      </c>
      <c r="B23" s="30">
        <f>(Parameter!$F$5*Parameter!$F$6*(Parameter!$F$7+Parameter!$F$9*Parameter!$F$10)/60*(Parameter!$F$8*(1-$C$3))-((Parameter!$F$12*(1+Parameter!$F$14)+Parameter!$F$13)+(Parameter!$F$15+Parameter!$F$16)*(Parameter!$F$8*(1-$C$3))+Parameter!$F$5*Parameter!$F$6*Parameter!$F$11))/((Parameter!$F$12*(1+Parameter!$F$14)+Parameter!$F$13)+(Parameter!$F$15+Parameter!$F$16)*(Parameter!$F$8*(1-$C$3))+Parameter!$F$5*Parameter!$F$6*Parameter!$F$11)</f>
        <v/>
      </c>
      <c r="C23" s="30">
        <f>Szenarien!D16</f>
        <v/>
      </c>
      <c r="D23" s="30">
        <f>(Parameter!$F$5*Parameter!$F$6*(Parameter!$F$7+Parameter!$F$9*Parameter!$F$10)/60*(Parameter!$F$8*(1+$C$3))-((Parameter!$F$12*(1+Parameter!$F$14)+Parameter!$F$13)+(Parameter!$F$15+Parameter!$F$16)*(Parameter!$F$8*(1+$C$3))+Parameter!$F$5*Parameter!$F$6*Parameter!$F$11))/((Parameter!$F$12*(1+Parameter!$F$14)+Parameter!$F$13)+(Parameter!$F$15+Parameter!$F$16)*(Parameter!$F$8*(1+$C$3))+Parameter!$F$5*Parameter!$F$6*Parameter!$F$11)</f>
        <v/>
      </c>
      <c r="E23" s="30">
        <f>ROUND(ABS(D23-B23),9)</f>
        <v/>
      </c>
      <c r="F23" s="8">
        <f>RANK(E23,$E$20:$E$29)</f>
        <v/>
      </c>
    </row>
    <row r="24">
      <c r="A24" s="8" t="inlineStr">
        <is>
          <t>Reduktion der Eskalationsquote</t>
        </is>
      </c>
      <c r="B24" s="30">
        <f>(Parameter!$F$5*Parameter!$F$6*(Parameter!$F$7+(Parameter!$F$9*(1-$C$3))*Parameter!$F$10)/60*Parameter!$F$8-((Parameter!$F$12*(1+Parameter!$F$14)+Parameter!$F$13)+(Parameter!$F$15+Parameter!$F$16)*Parameter!$F$8+Parameter!$F$5*Parameter!$F$6*Parameter!$F$11))/((Parameter!$F$12*(1+Parameter!$F$14)+Parameter!$F$13)+(Parameter!$F$15+Parameter!$F$16)*Parameter!$F$8+Parameter!$F$5*Parameter!$F$6*Parameter!$F$11)</f>
        <v/>
      </c>
      <c r="C24" s="30">
        <f>Szenarien!D16</f>
        <v/>
      </c>
      <c r="D24" s="30">
        <f>(Parameter!$F$5*Parameter!$F$6*(Parameter!$F$7+(Parameter!$F$9*(1+$C$3))*Parameter!$F$10)/60*Parameter!$F$8-((Parameter!$F$12*(1+Parameter!$F$14)+Parameter!$F$13)+(Parameter!$F$15+Parameter!$F$16)*Parameter!$F$8+Parameter!$F$5*Parameter!$F$6*Parameter!$F$11))/((Parameter!$F$12*(1+Parameter!$F$14)+Parameter!$F$13)+(Parameter!$F$15+Parameter!$F$16)*Parameter!$F$8+Parameter!$F$5*Parameter!$F$6*Parameter!$F$11)</f>
        <v/>
      </c>
      <c r="E24" s="30">
        <f>ROUND(ABS(D24-B24),9)</f>
        <v/>
      </c>
      <c r="F24" s="8">
        <f>RANK(E24,$E$20:$E$29)</f>
        <v/>
      </c>
    </row>
    <row r="25">
      <c r="A25" s="8" t="inlineStr">
        <is>
          <t>Zusatzzeit je Eskalation</t>
        </is>
      </c>
      <c r="B25" s="30">
        <f>(Parameter!$F$5*Parameter!$F$6*(Parameter!$F$7+Parameter!$F$9*(Parameter!$F$10*(1-$C$3)))/60*Parameter!$F$8-((Parameter!$F$12*(1+Parameter!$F$14)+Parameter!$F$13)+(Parameter!$F$15+Parameter!$F$16)*Parameter!$F$8+Parameter!$F$5*Parameter!$F$6*Parameter!$F$11))/((Parameter!$F$12*(1+Parameter!$F$14)+Parameter!$F$13)+(Parameter!$F$15+Parameter!$F$16)*Parameter!$F$8+Parameter!$F$5*Parameter!$F$6*Parameter!$F$11)</f>
        <v/>
      </c>
      <c r="C25" s="30">
        <f>Szenarien!D16</f>
        <v/>
      </c>
      <c r="D25" s="30">
        <f>(Parameter!$F$5*Parameter!$F$6*(Parameter!$F$7+Parameter!$F$9*(Parameter!$F$10*(1+$C$3)))/60*Parameter!$F$8-((Parameter!$F$12*(1+Parameter!$F$14)+Parameter!$F$13)+(Parameter!$F$15+Parameter!$F$16)*Parameter!$F$8+Parameter!$F$5*Parameter!$F$6*Parameter!$F$11))/((Parameter!$F$12*(1+Parameter!$F$14)+Parameter!$F$13)+(Parameter!$F$15+Parameter!$F$16)*Parameter!$F$8+Parameter!$F$5*Parameter!$F$6*Parameter!$F$11)</f>
        <v/>
      </c>
      <c r="E25" s="30">
        <f>ROUND(ABS(D25-B25),9)</f>
        <v/>
      </c>
      <c r="F25" s="8">
        <f>RANK(E25,$E$20:$E$29)</f>
        <v/>
      </c>
    </row>
    <row r="26">
      <c r="A26" s="8" t="inlineStr">
        <is>
          <t>Variable Kosten je Ticket</t>
        </is>
      </c>
      <c r="B26" s="30">
        <f>(Parameter!$F$5*Parameter!$F$6*(Parameter!$F$7+Parameter!$F$9*Parameter!$F$10)/60*Parameter!$F$8-((Parameter!$F$12*(1+Parameter!$F$14)+Parameter!$F$13)+(Parameter!$F$15+Parameter!$F$16)*Parameter!$F$8+Parameter!$F$5*Parameter!$F$6*(Parameter!$F$11*(1-$C$3))))/((Parameter!$F$12*(1+Parameter!$F$14)+Parameter!$F$13)+(Parameter!$F$15+Parameter!$F$16)*Parameter!$F$8+Parameter!$F$5*Parameter!$F$6*(Parameter!$F$11*(1-$C$3)))</f>
        <v/>
      </c>
      <c r="C26" s="30">
        <f>Szenarien!D16</f>
        <v/>
      </c>
      <c r="D26" s="30">
        <f>(Parameter!$F$5*Parameter!$F$6*(Parameter!$F$7+Parameter!$F$9*Parameter!$F$10)/60*Parameter!$F$8-((Parameter!$F$12*(1+Parameter!$F$14)+Parameter!$F$13)+(Parameter!$F$15+Parameter!$F$16)*Parameter!$F$8+Parameter!$F$5*Parameter!$F$6*(Parameter!$F$11*(1+$C$3))))/((Parameter!$F$12*(1+Parameter!$F$14)+Parameter!$F$13)+(Parameter!$F$15+Parameter!$F$16)*Parameter!$F$8+Parameter!$F$5*Parameter!$F$6*(Parameter!$F$11*(1+$C$3)))</f>
        <v/>
      </c>
      <c r="E26" s="30">
        <f>ROUND(ABS(D26-B26),9)</f>
        <v/>
      </c>
      <c r="F26" s="8">
        <f>RANK(E26,$E$20:$E$29)</f>
        <v/>
      </c>
    </row>
    <row r="27">
      <c r="A27" s="8" t="inlineStr">
        <is>
          <t>Hostingkosten</t>
        </is>
      </c>
      <c r="B27" s="30">
        <f>(Parameter!$F$5*Parameter!$F$6*(Parameter!$F$7+Parameter!$F$9*Parameter!$F$10)/60*Parameter!$F$8-(((Parameter!$F$12*(1+Parameter!$F$14)+Parameter!$F$13)*(1-$C$3))+(Parameter!$F$15+Parameter!$F$16)*Parameter!$F$8+Parameter!$F$5*Parameter!$F$6*Parameter!$F$11))/(((Parameter!$F$12*(1+Parameter!$F$14)+Parameter!$F$13)*(1-$C$3))+(Parameter!$F$15+Parameter!$F$16)*Parameter!$F$8+Parameter!$F$5*Parameter!$F$6*Parameter!$F$11)</f>
        <v/>
      </c>
      <c r="C27" s="30">
        <f>Szenarien!D16</f>
        <v/>
      </c>
      <c r="D27" s="30">
        <f>(Parameter!$F$5*Parameter!$F$6*(Parameter!$F$7+Parameter!$F$9*Parameter!$F$10)/60*Parameter!$F$8-(((Parameter!$F$12*(1+Parameter!$F$14)+Parameter!$F$13)*(1+$C$3))+(Parameter!$F$15+Parameter!$F$16)*Parameter!$F$8+Parameter!$F$5*Parameter!$F$6*Parameter!$F$11))/(((Parameter!$F$12*(1+Parameter!$F$14)+Parameter!$F$13)*(1+$C$3))+(Parameter!$F$15+Parameter!$F$16)*Parameter!$F$8+Parameter!$F$5*Parameter!$F$6*Parameter!$F$11)</f>
        <v/>
      </c>
      <c r="E27" s="30">
        <f>ROUND(ABS(D27-B27),9)</f>
        <v/>
      </c>
      <c r="F27" s="8">
        <f>RANK(E27,$E$20:$E$29)</f>
        <v/>
      </c>
    </row>
    <row r="28">
      <c r="A28" s="8" t="inlineStr">
        <is>
          <t>Aufwand KB-Pflege</t>
        </is>
      </c>
      <c r="B28" s="30">
        <f>(Parameter!$F$5*Parameter!$F$6*(Parameter!$F$7+Parameter!$F$9*Parameter!$F$10)/60*Parameter!$F$8-((Parameter!$F$12*(1+Parameter!$F$14)+Parameter!$F$13)+((Parameter!$F$15*(1-$C$3))+Parameter!$F$16)*Parameter!$F$8+Parameter!$F$5*Parameter!$F$6*Parameter!$F$11))/((Parameter!$F$12*(1+Parameter!$F$14)+Parameter!$F$13)+((Parameter!$F$15*(1-$C$3))+Parameter!$F$16)*Parameter!$F$8+Parameter!$F$5*Parameter!$F$6*Parameter!$F$11)</f>
        <v/>
      </c>
      <c r="C28" s="30">
        <f>Szenarien!D16</f>
        <v/>
      </c>
      <c r="D28" s="30">
        <f>(Parameter!$F$5*Parameter!$F$6*(Parameter!$F$7+Parameter!$F$9*Parameter!$F$10)/60*Parameter!$F$8-((Parameter!$F$12*(1+Parameter!$F$14)+Parameter!$F$13)+((Parameter!$F$15*(1+$C$3))+Parameter!$F$16)*Parameter!$F$8+Parameter!$F$5*Parameter!$F$6*Parameter!$F$11))/((Parameter!$F$12*(1+Parameter!$F$14)+Parameter!$F$13)+((Parameter!$F$15*(1+$C$3))+Parameter!$F$16)*Parameter!$F$8+Parameter!$F$5*Parameter!$F$6*Parameter!$F$11)</f>
        <v/>
      </c>
      <c r="E28" s="30">
        <f>ROUND(ABS(D28-B28),9)</f>
        <v/>
      </c>
      <c r="F28" s="8">
        <f>RANK(E28,$E$20:$E$29)</f>
        <v/>
      </c>
    </row>
    <row r="29">
      <c r="A29" s="8" t="inlineStr">
        <is>
          <t>Aufwand Monitoring</t>
        </is>
      </c>
      <c r="B29" s="30">
        <f>(Parameter!$F$5*Parameter!$F$6*(Parameter!$F$7+Parameter!$F$9*Parameter!$F$10)/60*Parameter!$F$8-((Parameter!$F$12*(1+Parameter!$F$14)+Parameter!$F$13)+(Parameter!$F$15+(Parameter!$F$16*(1-$C$3)))*Parameter!$F$8+Parameter!$F$5*Parameter!$F$6*Parameter!$F$11))/((Parameter!$F$12*(1+Parameter!$F$14)+Parameter!$F$13)+(Parameter!$F$15+(Parameter!$F$16*(1-$C$3)))*Parameter!$F$8+Parameter!$F$5*Parameter!$F$6*Parameter!$F$11)</f>
        <v/>
      </c>
      <c r="C29" s="30">
        <f>Szenarien!D16</f>
        <v/>
      </c>
      <c r="D29" s="30">
        <f>(Parameter!$F$5*Parameter!$F$6*(Parameter!$F$7+Parameter!$F$9*Parameter!$F$10)/60*Parameter!$F$8-((Parameter!$F$12*(1+Parameter!$F$14)+Parameter!$F$13)+(Parameter!$F$15+(Parameter!$F$16*(1+$C$3)))*Parameter!$F$8+Parameter!$F$5*Parameter!$F$6*Parameter!$F$11))/((Parameter!$F$12*(1+Parameter!$F$14)+Parameter!$F$13)+(Parameter!$F$15+(Parameter!$F$16*(1+$C$3)))*Parameter!$F$8+Parameter!$F$5*Parameter!$F$6*Parameter!$F$11)</f>
        <v/>
      </c>
      <c r="E29" s="30">
        <f>ROUND(ABS(D29-B29),9)</f>
        <v/>
      </c>
      <c r="F29" s="8">
        <f>RANK(E29,$E$20:$E$29)</f>
        <v/>
      </c>
    </row>
    <row r="31">
      <c r="A31" s="24" t="inlineStr">
        <is>
          <t>Szenario optimistisch</t>
        </is>
      </c>
    </row>
    <row r="32">
      <c r="A32" s="21" t="inlineStr">
        <is>
          <t>Parameter</t>
        </is>
      </c>
      <c r="B32" s="21" t="inlineStr">
        <is>
          <t>ROI bei −Variation</t>
        </is>
      </c>
      <c r="C32" s="21" t="inlineStr">
        <is>
          <t>ROI Basis</t>
        </is>
      </c>
      <c r="D32" s="21" t="inlineStr">
        <is>
          <t>ROI bei +Variation</t>
        </is>
      </c>
      <c r="E32" s="21" t="inlineStr">
        <is>
          <t>Spannweite</t>
        </is>
      </c>
      <c r="F32" s="21" t="inlineStr">
        <is>
          <t>Rang</t>
        </is>
      </c>
    </row>
    <row r="33">
      <c r="A33" s="8" t="inlineStr">
        <is>
          <t>Ticketvolumen</t>
        </is>
      </c>
      <c r="B33" s="30">
        <f>((Parameter!$G$5*(1-$C$3))*Parameter!$G$6*(Parameter!$G$7+Parameter!$G$9*Parameter!$G$10)/60*Parameter!$G$8-((Parameter!$G$12*(1+Parameter!$G$14)+Parameter!$G$13)+(Parameter!$G$15+Parameter!$G$16)*Parameter!$G$8+(Parameter!$G$5*(1-$C$3))*Parameter!$G$6*Parameter!$G$11))/((Parameter!$G$12*(1+Parameter!$G$14)+Parameter!$G$13)+(Parameter!$G$15+Parameter!$G$16)*Parameter!$G$8+(Parameter!$G$5*(1-$C$3))*Parameter!$G$6*Parameter!$G$11)</f>
        <v/>
      </c>
      <c r="C33" s="30">
        <f>Szenarien!E16</f>
        <v/>
      </c>
      <c r="D33" s="30">
        <f>((Parameter!$G$5*(1+$C$3))*Parameter!$G$6*(Parameter!$G$7+Parameter!$G$9*Parameter!$G$10)/60*Parameter!$G$8-((Parameter!$G$12*(1+Parameter!$G$14)+Parameter!$G$13)+(Parameter!$G$15+Parameter!$G$16)*Parameter!$G$8+(Parameter!$G$5*(1+$C$3))*Parameter!$G$6*Parameter!$G$11))/((Parameter!$G$12*(1+Parameter!$G$14)+Parameter!$G$13)+(Parameter!$G$15+Parameter!$G$16)*Parameter!$G$8+(Parameter!$G$5*(1+$C$3))*Parameter!$G$6*Parameter!$G$11)</f>
        <v/>
      </c>
      <c r="E33" s="30">
        <f>ROUND(ABS(D33-B33),9)</f>
        <v/>
      </c>
      <c r="F33" s="8">
        <f>RANK(E33,$E$33:$E$42)</f>
        <v/>
      </c>
    </row>
    <row r="34">
      <c r="A34" s="8" t="inlineStr">
        <is>
          <t>Adoptionsrate</t>
        </is>
      </c>
      <c r="B34" s="30">
        <f>(Parameter!$G$5*(Parameter!$G$6*(1-$C$3))*(Parameter!$G$7+Parameter!$G$9*Parameter!$G$10)/60*Parameter!$G$8-((Parameter!$G$12*(1+Parameter!$G$14)+Parameter!$G$13)+(Parameter!$G$15+Parameter!$G$16)*Parameter!$G$8+Parameter!$G$5*(Parameter!$G$6*(1-$C$3))*Parameter!$G$11))/((Parameter!$G$12*(1+Parameter!$G$14)+Parameter!$G$13)+(Parameter!$G$15+Parameter!$G$16)*Parameter!$G$8+Parameter!$G$5*(Parameter!$G$6*(1-$C$3))*Parameter!$G$11)</f>
        <v/>
      </c>
      <c r="C34" s="30">
        <f>Szenarien!E16</f>
        <v/>
      </c>
      <c r="D34" s="30">
        <f>(Parameter!$G$5*(Parameter!$G$6*(1+$C$3))*(Parameter!$G$7+Parameter!$G$9*Parameter!$G$10)/60*Parameter!$G$8-((Parameter!$G$12*(1+Parameter!$G$14)+Parameter!$G$13)+(Parameter!$G$15+Parameter!$G$16)*Parameter!$G$8+Parameter!$G$5*(Parameter!$G$6*(1+$C$3))*Parameter!$G$11))/((Parameter!$G$12*(1+Parameter!$G$14)+Parameter!$G$13)+(Parameter!$G$15+Parameter!$G$16)*Parameter!$G$8+Parameter!$G$5*(Parameter!$G$6*(1+$C$3))*Parameter!$G$11)</f>
        <v/>
      </c>
      <c r="E34" s="30">
        <f>ROUND(ABS(D34-B34),9)</f>
        <v/>
      </c>
      <c r="F34" s="8">
        <f>RANK(E34,$E$33:$E$42)</f>
        <v/>
      </c>
    </row>
    <row r="35">
      <c r="A35" s="8" t="inlineStr">
        <is>
          <t>Zeitersparnis je Ticket</t>
        </is>
      </c>
      <c r="B35" s="30">
        <f>(Parameter!$G$5*Parameter!$G$6*((Parameter!$G$7*(1-$C$3))+Parameter!$G$9*Parameter!$G$10)/60*Parameter!$G$8-((Parameter!$G$12*(1+Parameter!$G$14)+Parameter!$G$13)+(Parameter!$G$15+Parameter!$G$16)*Parameter!$G$8+Parameter!$G$5*Parameter!$G$6*Parameter!$G$11))/((Parameter!$G$12*(1+Parameter!$G$14)+Parameter!$G$13)+(Parameter!$G$15+Parameter!$G$16)*Parameter!$G$8+Parameter!$G$5*Parameter!$G$6*Parameter!$G$11)</f>
        <v/>
      </c>
      <c r="C35" s="30">
        <f>Szenarien!E16</f>
        <v/>
      </c>
      <c r="D35" s="30">
        <f>(Parameter!$G$5*Parameter!$G$6*((Parameter!$G$7*(1+$C$3))+Parameter!$G$9*Parameter!$G$10)/60*Parameter!$G$8-((Parameter!$G$12*(1+Parameter!$G$14)+Parameter!$G$13)+(Parameter!$G$15+Parameter!$G$16)*Parameter!$G$8+Parameter!$G$5*Parameter!$G$6*Parameter!$G$11))/((Parameter!$G$12*(1+Parameter!$G$14)+Parameter!$G$13)+(Parameter!$G$15+Parameter!$G$16)*Parameter!$G$8+Parameter!$G$5*Parameter!$G$6*Parameter!$G$11)</f>
        <v/>
      </c>
      <c r="E35" s="30">
        <f>ROUND(ABS(D35-B35),9)</f>
        <v/>
      </c>
      <c r="F35" s="8">
        <f>RANK(E35,$E$33:$E$42)</f>
        <v/>
      </c>
    </row>
    <row r="36">
      <c r="A36" s="8" t="inlineStr">
        <is>
          <t>Personalkostensatz</t>
        </is>
      </c>
      <c r="B36" s="30">
        <f>(Parameter!$G$5*Parameter!$G$6*(Parameter!$G$7+Parameter!$G$9*Parameter!$G$10)/60*(Parameter!$G$8*(1-$C$3))-((Parameter!$G$12*(1+Parameter!$G$14)+Parameter!$G$13)+(Parameter!$G$15+Parameter!$G$16)*(Parameter!$G$8*(1-$C$3))+Parameter!$G$5*Parameter!$G$6*Parameter!$G$11))/((Parameter!$G$12*(1+Parameter!$G$14)+Parameter!$G$13)+(Parameter!$G$15+Parameter!$G$16)*(Parameter!$G$8*(1-$C$3))+Parameter!$G$5*Parameter!$G$6*Parameter!$G$11)</f>
        <v/>
      </c>
      <c r="C36" s="30">
        <f>Szenarien!E16</f>
        <v/>
      </c>
      <c r="D36" s="30">
        <f>(Parameter!$G$5*Parameter!$G$6*(Parameter!$G$7+Parameter!$G$9*Parameter!$G$10)/60*(Parameter!$G$8*(1+$C$3))-((Parameter!$G$12*(1+Parameter!$G$14)+Parameter!$G$13)+(Parameter!$G$15+Parameter!$G$16)*(Parameter!$G$8*(1+$C$3))+Parameter!$G$5*Parameter!$G$6*Parameter!$G$11))/((Parameter!$G$12*(1+Parameter!$G$14)+Parameter!$G$13)+(Parameter!$G$15+Parameter!$G$16)*(Parameter!$G$8*(1+$C$3))+Parameter!$G$5*Parameter!$G$6*Parameter!$G$11)</f>
        <v/>
      </c>
      <c r="E36" s="30">
        <f>ROUND(ABS(D36-B36),9)</f>
        <v/>
      </c>
      <c r="F36" s="8">
        <f>RANK(E36,$E$33:$E$42)</f>
        <v/>
      </c>
    </row>
    <row r="37">
      <c r="A37" s="8" t="inlineStr">
        <is>
          <t>Reduktion der Eskalationsquote</t>
        </is>
      </c>
      <c r="B37" s="30">
        <f>(Parameter!$G$5*Parameter!$G$6*(Parameter!$G$7+(Parameter!$G$9*(1-$C$3))*Parameter!$G$10)/60*Parameter!$G$8-((Parameter!$G$12*(1+Parameter!$G$14)+Parameter!$G$13)+(Parameter!$G$15+Parameter!$G$16)*Parameter!$G$8+Parameter!$G$5*Parameter!$G$6*Parameter!$G$11))/((Parameter!$G$12*(1+Parameter!$G$14)+Parameter!$G$13)+(Parameter!$G$15+Parameter!$G$16)*Parameter!$G$8+Parameter!$G$5*Parameter!$G$6*Parameter!$G$11)</f>
        <v/>
      </c>
      <c r="C37" s="30">
        <f>Szenarien!E16</f>
        <v/>
      </c>
      <c r="D37" s="30">
        <f>(Parameter!$G$5*Parameter!$G$6*(Parameter!$G$7+(Parameter!$G$9*(1+$C$3))*Parameter!$G$10)/60*Parameter!$G$8-((Parameter!$G$12*(1+Parameter!$G$14)+Parameter!$G$13)+(Parameter!$G$15+Parameter!$G$16)*Parameter!$G$8+Parameter!$G$5*Parameter!$G$6*Parameter!$G$11))/((Parameter!$G$12*(1+Parameter!$G$14)+Parameter!$G$13)+(Parameter!$G$15+Parameter!$G$16)*Parameter!$G$8+Parameter!$G$5*Parameter!$G$6*Parameter!$G$11)</f>
        <v/>
      </c>
      <c r="E37" s="30">
        <f>ROUND(ABS(D37-B37),9)</f>
        <v/>
      </c>
      <c r="F37" s="8">
        <f>RANK(E37,$E$33:$E$42)</f>
        <v/>
      </c>
    </row>
    <row r="38">
      <c r="A38" s="8" t="inlineStr">
        <is>
          <t>Zusatzzeit je Eskalation</t>
        </is>
      </c>
      <c r="B38" s="30">
        <f>(Parameter!$G$5*Parameter!$G$6*(Parameter!$G$7+Parameter!$G$9*(Parameter!$G$10*(1-$C$3)))/60*Parameter!$G$8-((Parameter!$G$12*(1+Parameter!$G$14)+Parameter!$G$13)+(Parameter!$G$15+Parameter!$G$16)*Parameter!$G$8+Parameter!$G$5*Parameter!$G$6*Parameter!$G$11))/((Parameter!$G$12*(1+Parameter!$G$14)+Parameter!$G$13)+(Parameter!$G$15+Parameter!$G$16)*Parameter!$G$8+Parameter!$G$5*Parameter!$G$6*Parameter!$G$11)</f>
        <v/>
      </c>
      <c r="C38" s="30">
        <f>Szenarien!E16</f>
        <v/>
      </c>
      <c r="D38" s="30">
        <f>(Parameter!$G$5*Parameter!$G$6*(Parameter!$G$7+Parameter!$G$9*(Parameter!$G$10*(1+$C$3)))/60*Parameter!$G$8-((Parameter!$G$12*(1+Parameter!$G$14)+Parameter!$G$13)+(Parameter!$G$15+Parameter!$G$16)*Parameter!$G$8+Parameter!$G$5*Parameter!$G$6*Parameter!$G$11))/((Parameter!$G$12*(1+Parameter!$G$14)+Parameter!$G$13)+(Parameter!$G$15+Parameter!$G$16)*Parameter!$G$8+Parameter!$G$5*Parameter!$G$6*Parameter!$G$11)</f>
        <v/>
      </c>
      <c r="E38" s="30">
        <f>ROUND(ABS(D38-B38),9)</f>
        <v/>
      </c>
      <c r="F38" s="8">
        <f>RANK(E38,$E$33:$E$42)</f>
        <v/>
      </c>
    </row>
    <row r="39">
      <c r="A39" s="8" t="inlineStr">
        <is>
          <t>Variable Kosten je Ticket</t>
        </is>
      </c>
      <c r="B39" s="30">
        <f>(Parameter!$G$5*Parameter!$G$6*(Parameter!$G$7+Parameter!$G$9*Parameter!$G$10)/60*Parameter!$G$8-((Parameter!$G$12*(1+Parameter!$G$14)+Parameter!$G$13)+(Parameter!$G$15+Parameter!$G$16)*Parameter!$G$8+Parameter!$G$5*Parameter!$G$6*(Parameter!$G$11*(1-$C$3))))/((Parameter!$G$12*(1+Parameter!$G$14)+Parameter!$G$13)+(Parameter!$G$15+Parameter!$G$16)*Parameter!$G$8+Parameter!$G$5*Parameter!$G$6*(Parameter!$G$11*(1-$C$3)))</f>
        <v/>
      </c>
      <c r="C39" s="30">
        <f>Szenarien!E16</f>
        <v/>
      </c>
      <c r="D39" s="30">
        <f>(Parameter!$G$5*Parameter!$G$6*(Parameter!$G$7+Parameter!$G$9*Parameter!$G$10)/60*Parameter!$G$8-((Parameter!$G$12*(1+Parameter!$G$14)+Parameter!$G$13)+(Parameter!$G$15+Parameter!$G$16)*Parameter!$G$8+Parameter!$G$5*Parameter!$G$6*(Parameter!$G$11*(1+$C$3))))/((Parameter!$G$12*(1+Parameter!$G$14)+Parameter!$G$13)+(Parameter!$G$15+Parameter!$G$16)*Parameter!$G$8+Parameter!$G$5*Parameter!$G$6*(Parameter!$G$11*(1+$C$3)))</f>
        <v/>
      </c>
      <c r="E39" s="30">
        <f>ROUND(ABS(D39-B39),9)</f>
        <v/>
      </c>
      <c r="F39" s="8">
        <f>RANK(E39,$E$33:$E$42)</f>
        <v/>
      </c>
    </row>
    <row r="40">
      <c r="A40" s="8" t="inlineStr">
        <is>
          <t>Hostingkosten</t>
        </is>
      </c>
      <c r="B40" s="30">
        <f>(Parameter!$G$5*Parameter!$G$6*(Parameter!$G$7+Parameter!$G$9*Parameter!$G$10)/60*Parameter!$G$8-(((Parameter!$G$12*(1+Parameter!$G$14)+Parameter!$G$13)*(1-$C$3))+(Parameter!$G$15+Parameter!$G$16)*Parameter!$G$8+Parameter!$G$5*Parameter!$G$6*Parameter!$G$11))/(((Parameter!$G$12*(1+Parameter!$G$14)+Parameter!$G$13)*(1-$C$3))+(Parameter!$G$15+Parameter!$G$16)*Parameter!$G$8+Parameter!$G$5*Parameter!$G$6*Parameter!$G$11)</f>
        <v/>
      </c>
      <c r="C40" s="30">
        <f>Szenarien!E16</f>
        <v/>
      </c>
      <c r="D40" s="30">
        <f>(Parameter!$G$5*Parameter!$G$6*(Parameter!$G$7+Parameter!$G$9*Parameter!$G$10)/60*Parameter!$G$8-(((Parameter!$G$12*(1+Parameter!$G$14)+Parameter!$G$13)*(1+$C$3))+(Parameter!$G$15+Parameter!$G$16)*Parameter!$G$8+Parameter!$G$5*Parameter!$G$6*Parameter!$G$11))/(((Parameter!$G$12*(1+Parameter!$G$14)+Parameter!$G$13)*(1+$C$3))+(Parameter!$G$15+Parameter!$G$16)*Parameter!$G$8+Parameter!$G$5*Parameter!$G$6*Parameter!$G$11)</f>
        <v/>
      </c>
      <c r="E40" s="30">
        <f>ROUND(ABS(D40-B40),9)</f>
        <v/>
      </c>
      <c r="F40" s="8">
        <f>RANK(E40,$E$33:$E$42)</f>
        <v/>
      </c>
    </row>
    <row r="41">
      <c r="A41" s="8" t="inlineStr">
        <is>
          <t>Aufwand KB-Pflege</t>
        </is>
      </c>
      <c r="B41" s="30">
        <f>(Parameter!$G$5*Parameter!$G$6*(Parameter!$G$7+Parameter!$G$9*Parameter!$G$10)/60*Parameter!$G$8-((Parameter!$G$12*(1+Parameter!$G$14)+Parameter!$G$13)+((Parameter!$G$15*(1-$C$3))+Parameter!$G$16)*Parameter!$G$8+Parameter!$G$5*Parameter!$G$6*Parameter!$G$11))/((Parameter!$G$12*(1+Parameter!$G$14)+Parameter!$G$13)+((Parameter!$G$15*(1-$C$3))+Parameter!$G$16)*Parameter!$G$8+Parameter!$G$5*Parameter!$G$6*Parameter!$G$11)</f>
        <v/>
      </c>
      <c r="C41" s="30">
        <f>Szenarien!E16</f>
        <v/>
      </c>
      <c r="D41" s="30">
        <f>(Parameter!$G$5*Parameter!$G$6*(Parameter!$G$7+Parameter!$G$9*Parameter!$G$10)/60*Parameter!$G$8-((Parameter!$G$12*(1+Parameter!$G$14)+Parameter!$G$13)+((Parameter!$G$15*(1+$C$3))+Parameter!$G$16)*Parameter!$G$8+Parameter!$G$5*Parameter!$G$6*Parameter!$G$11))/((Parameter!$G$12*(1+Parameter!$G$14)+Parameter!$G$13)+((Parameter!$G$15*(1+$C$3))+Parameter!$G$16)*Parameter!$G$8+Parameter!$G$5*Parameter!$G$6*Parameter!$G$11)</f>
        <v/>
      </c>
      <c r="E41" s="30">
        <f>ROUND(ABS(D41-B41),9)</f>
        <v/>
      </c>
      <c r="F41" s="8">
        <f>RANK(E41,$E$33:$E$42)</f>
        <v/>
      </c>
    </row>
    <row r="42">
      <c r="A42" s="8" t="inlineStr">
        <is>
          <t>Aufwand Monitoring</t>
        </is>
      </c>
      <c r="B42" s="30">
        <f>(Parameter!$G$5*Parameter!$G$6*(Parameter!$G$7+Parameter!$G$9*Parameter!$G$10)/60*Parameter!$G$8-((Parameter!$G$12*(1+Parameter!$G$14)+Parameter!$G$13)+(Parameter!$G$15+(Parameter!$G$16*(1-$C$3)))*Parameter!$G$8+Parameter!$G$5*Parameter!$G$6*Parameter!$G$11))/((Parameter!$G$12*(1+Parameter!$G$14)+Parameter!$G$13)+(Parameter!$G$15+(Parameter!$G$16*(1-$C$3)))*Parameter!$G$8+Parameter!$G$5*Parameter!$G$6*Parameter!$G$11)</f>
        <v/>
      </c>
      <c r="C42" s="30">
        <f>Szenarien!E16</f>
        <v/>
      </c>
      <c r="D42" s="30">
        <f>(Parameter!$G$5*Parameter!$G$6*(Parameter!$G$7+Parameter!$G$9*Parameter!$G$10)/60*Parameter!$G$8-((Parameter!$G$12*(1+Parameter!$G$14)+Parameter!$G$13)+(Parameter!$G$15+(Parameter!$G$16*(1+$C$3)))*Parameter!$G$8+Parameter!$G$5*Parameter!$G$6*Parameter!$G$11))/((Parameter!$G$12*(1+Parameter!$G$14)+Parameter!$G$13)+(Parameter!$G$15+(Parameter!$G$16*(1+$C$3)))*Parameter!$G$8+Parameter!$G$5*Parameter!$G$6*Parameter!$G$11)</f>
        <v/>
      </c>
      <c r="E42" s="30">
        <f>ROUND(ABS(D42-B42),9)</f>
        <v/>
      </c>
      <c r="F42" s="8">
        <f>RANK(E42,$E$33:$E$42)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2026-10-21T06:51:18Z</dcterms:created>
  <dcterms:modified xsi:type="dcterms:W3CDTF">2026-10-21T06:51:18Z</dcterms:modified>
</cp:coreProperties>
</file>